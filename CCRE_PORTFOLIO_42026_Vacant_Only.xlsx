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wned Pipeline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(* #,##0_);_(* \(#,##0\);_(* &quot;-&quot;??_);_(@_)"/>
    <numFmt numFmtId="167" formatCode="_(* #,##0.0_);_(* \(#,##0.0\);_(* &quot;-&quot;??_);_(@_)"/>
    <numFmt numFmtId="168" formatCode="[$-409]mmmm\ d\,\ yyyy;@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1" fillId="0" borderId="0"/>
    <xf numFmtId="43" fontId="1" fillId="0" borderId="0"/>
    <xf numFmtId="44" fontId="1" fillId="0" borderId="0"/>
    <xf numFmtId="9" fontId="1" fillId="0" borderId="0"/>
    <xf numFmtId="0" fontId="4" fillId="0" borderId="0"/>
  </cellStyleXfs>
  <cellXfs count="8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2">
      <alignment horizontal="left"/>
    </xf>
    <xf numFmtId="0" fontId="2" fillId="2" borderId="0" applyAlignment="1" pivotButton="0" quotePrefix="0" xfId="0">
      <alignment horizontal="center" vertical="center"/>
    </xf>
    <xf numFmtId="0" fontId="4" fillId="0" borderId="0" pivotButton="0" quotePrefix="0" xfId="4"/>
    <xf numFmtId="10" fontId="0" fillId="0" borderId="0" pivotButton="0" quotePrefix="0" xfId="3"/>
    <xf numFmtId="49" fontId="0" fillId="0" borderId="0" applyAlignment="1" pivotButton="0" quotePrefix="0" xfId="2">
      <alignment horizontal="left" wrapText="1"/>
    </xf>
    <xf numFmtId="9" fontId="0" fillId="0" borderId="0" pivotButton="0" quotePrefix="0" xfId="3"/>
    <xf numFmtId="49" fontId="0" fillId="0" borderId="0" applyAlignment="1" pivotButton="0" quotePrefix="0" xfId="2">
      <alignment horizontal="left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2" fillId="0" borderId="0" pivotButton="0" quotePrefix="0" xfId="0"/>
    <xf numFmtId="0" fontId="6" fillId="0" borderId="0" pivotButton="0" quotePrefix="0" xfId="0"/>
    <xf numFmtId="0" fontId="6" fillId="2" borderId="3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6" fillId="2" borderId="0" applyAlignment="1" pivotButton="0" quotePrefix="0" xfId="0">
      <alignment horizontal="left" wrapText="1"/>
    </xf>
    <xf numFmtId="0" fontId="6" fillId="2" borderId="0" applyAlignment="1" pivotButton="0" quotePrefix="0" xfId="0">
      <alignment horizontal="left"/>
    </xf>
    <xf numFmtId="0" fontId="5" fillId="5" borderId="4" applyAlignment="1" pivotButton="0" quotePrefix="0" xfId="0">
      <alignment horizontal="left" vertical="center"/>
    </xf>
    <xf numFmtId="0" fontId="4" fillId="0" borderId="4" applyAlignment="1" pivotButton="0" quotePrefix="0" xfId="4">
      <alignment horizontal="left" vertical="center"/>
    </xf>
    <xf numFmtId="0" fontId="7" fillId="4" borderId="4" applyAlignment="1" pivotButton="0" quotePrefix="0" xfId="0">
      <alignment horizontal="left" vertical="center"/>
    </xf>
    <xf numFmtId="10" fontId="7" fillId="4" borderId="4" applyAlignment="1" pivotButton="0" quotePrefix="0" xfId="3">
      <alignment horizontal="left" vertical="center"/>
    </xf>
    <xf numFmtId="164" fontId="7" fillId="4" borderId="4" applyAlignment="1" pivotButton="0" quotePrefix="0" xfId="2">
      <alignment horizontal="left" vertical="center"/>
    </xf>
    <xf numFmtId="14" fontId="7" fillId="4" borderId="4" applyAlignment="1" pivotButton="0" quotePrefix="0" xfId="2">
      <alignment horizontal="left" vertical="center"/>
    </xf>
    <xf numFmtId="164" fontId="7" fillId="4" borderId="4" applyAlignment="1" pivotButton="0" quotePrefix="0" xfId="2">
      <alignment horizontal="left" vertical="center" wrapText="1"/>
    </xf>
    <xf numFmtId="49" fontId="7" fillId="4" borderId="4" applyAlignment="1" pivotButton="0" quotePrefix="0" xfId="2">
      <alignment horizontal="left" vertical="center" wrapText="1"/>
    </xf>
    <xf numFmtId="0" fontId="7" fillId="3" borderId="4" applyAlignment="1" pivotButton="0" quotePrefix="0" xfId="0">
      <alignment horizontal="left" vertical="center"/>
    </xf>
    <xf numFmtId="10" fontId="7" fillId="3" borderId="4" applyAlignment="1" pivotButton="0" quotePrefix="0" xfId="3">
      <alignment horizontal="left" vertical="center"/>
    </xf>
    <xf numFmtId="164" fontId="7" fillId="3" borderId="4" applyAlignment="1" pivotButton="0" quotePrefix="0" xfId="2">
      <alignment horizontal="left" vertical="center"/>
    </xf>
    <xf numFmtId="0" fontId="7" fillId="4" borderId="4" applyAlignment="1" pivotButton="0" quotePrefix="0" xfId="0">
      <alignment horizontal="left" vertical="center" wrapText="1"/>
    </xf>
    <xf numFmtId="10" fontId="7" fillId="4" borderId="4" applyAlignment="1" pivotButton="0" quotePrefix="0" xfId="2">
      <alignment horizontal="left" vertical="center"/>
    </xf>
    <xf numFmtId="165" fontId="7" fillId="4" borderId="4" applyAlignment="1" pivotButton="0" quotePrefix="0" xfId="2">
      <alignment horizontal="left" vertical="center"/>
    </xf>
    <xf numFmtId="165" fontId="7" fillId="3" borderId="4" applyAlignment="1" pivotButton="0" quotePrefix="0" xfId="2">
      <alignment horizontal="left" vertical="center"/>
    </xf>
    <xf numFmtId="0" fontId="0" fillId="4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left" vertical="center"/>
    </xf>
    <xf numFmtId="10" fontId="7" fillId="6" borderId="4" applyAlignment="1" pivotButton="0" quotePrefix="0" xfId="3">
      <alignment horizontal="left" vertical="center"/>
    </xf>
    <xf numFmtId="0" fontId="7" fillId="6" borderId="4" applyAlignment="1" pivotButton="0" quotePrefix="0" xfId="0">
      <alignment horizontal="left" vertical="center" wrapText="1"/>
    </xf>
    <xf numFmtId="0" fontId="0" fillId="6" borderId="4" applyAlignment="1" pivotButton="0" quotePrefix="0" xfId="0">
      <alignment horizontal="left" vertical="center" wrapText="1"/>
    </xf>
    <xf numFmtId="164" fontId="7" fillId="6" borderId="4" applyAlignment="1" pivotButton="0" quotePrefix="0" xfId="2">
      <alignment horizontal="left" vertical="center"/>
    </xf>
    <xf numFmtId="165" fontId="7" fillId="6" borderId="4" applyAlignment="1" pivotButton="0" quotePrefix="0" xfId="2">
      <alignment horizontal="left" vertical="center"/>
    </xf>
    <xf numFmtId="14" fontId="7" fillId="6" borderId="4" applyAlignment="1" pivotButton="0" quotePrefix="0" xfId="2">
      <alignment horizontal="left" vertical="center"/>
    </xf>
    <xf numFmtId="49" fontId="7" fillId="6" borderId="4" applyAlignment="1" pivotButton="0" quotePrefix="0" xfId="2">
      <alignment horizontal="left" vertical="center" wrapText="1"/>
    </xf>
    <xf numFmtId="166" fontId="7" fillId="6" borderId="4" applyAlignment="1" pivotButton="0" quotePrefix="0" xfId="1">
      <alignment horizontal="center" vertical="center"/>
    </xf>
    <xf numFmtId="167" fontId="7" fillId="6" borderId="4" applyAlignment="1" pivotButton="0" quotePrefix="0" xfId="1">
      <alignment horizontal="center" vertical="center"/>
    </xf>
    <xf numFmtId="0" fontId="6" fillId="2" borderId="0" applyAlignment="1" pivotButton="0" quotePrefix="0" xfId="0">
      <alignment horizontal="center" wrapText="1"/>
    </xf>
    <xf numFmtId="166" fontId="7" fillId="4" borderId="4" applyAlignment="1" pivotButton="0" quotePrefix="0" xfId="1">
      <alignment horizontal="center" vertical="center"/>
    </xf>
    <xf numFmtId="0" fontId="7" fillId="4" borderId="4" applyAlignment="1" pivotButton="0" quotePrefix="0" xfId="0">
      <alignment horizontal="center" vertical="center"/>
    </xf>
    <xf numFmtId="166" fontId="7" fillId="3" borderId="4" applyAlignment="1" pivotButton="0" quotePrefix="0" xfId="1">
      <alignment horizontal="center" vertical="center"/>
    </xf>
    <xf numFmtId="0" fontId="7" fillId="3" borderId="4" applyAlignment="1" pivotButton="0" quotePrefix="0" xfId="0">
      <alignment horizontal="center" vertical="center"/>
    </xf>
    <xf numFmtId="166" fontId="0" fillId="0" borderId="0" applyAlignment="1" pivotButton="0" quotePrefix="0" xfId="1">
      <alignment horizontal="center"/>
    </xf>
    <xf numFmtId="0" fontId="8" fillId="6" borderId="4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168" fontId="7" fillId="4" borderId="4" applyAlignment="1" pivotButton="0" quotePrefix="0" xfId="2">
      <alignment horizontal="left" vertical="center" wrapText="1"/>
    </xf>
    <xf numFmtId="168" fontId="7" fillId="4" borderId="4" applyAlignment="1" pivotButton="0" quotePrefix="0" xfId="2">
      <alignment horizontal="left" vertical="center"/>
    </xf>
    <xf numFmtId="168" fontId="7" fillId="3" borderId="4" applyAlignment="1" pivotButton="0" quotePrefix="0" xfId="2">
      <alignment horizontal="left" vertical="center"/>
    </xf>
    <xf numFmtId="168" fontId="7" fillId="6" borderId="4" applyAlignment="1" pivotButton="0" quotePrefix="0" xfId="2">
      <alignment horizontal="left" vertical="center"/>
    </xf>
    <xf numFmtId="0" fontId="0" fillId="5" borderId="0" pivotButton="0" quotePrefix="0" xfId="0"/>
    <xf numFmtId="0" fontId="6" fillId="5" borderId="0" pivotButton="0" quotePrefix="0" xfId="0"/>
    <xf numFmtId="0" fontId="8" fillId="4" borderId="4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165" fontId="0" fillId="6" borderId="4" applyAlignment="1" pivotButton="0" quotePrefix="0" xfId="2">
      <alignment horizontal="left" vertical="center" wrapText="1"/>
    </xf>
    <xf numFmtId="165" fontId="0" fillId="4" borderId="4" applyAlignment="1" pivotButton="0" quotePrefix="0" xfId="2">
      <alignment horizontal="left" vertical="center" wrapText="1"/>
    </xf>
    <xf numFmtId="14" fontId="0" fillId="0" borderId="4" applyAlignment="1" pivotButton="0" quotePrefix="0" xfId="0">
      <alignment horizontal="left" vertical="center"/>
    </xf>
    <xf numFmtId="0" fontId="4" fillId="0" borderId="0" applyAlignment="1" pivotButton="0" quotePrefix="0" xfId="4">
      <alignment vertical="center"/>
    </xf>
    <xf numFmtId="14" fontId="7" fillId="3" borderId="4" applyAlignment="1" pivotButton="0" quotePrefix="0" xfId="2">
      <alignment horizontal="left" vertical="center"/>
    </xf>
    <xf numFmtId="49" fontId="7" fillId="3" borderId="4" applyAlignment="1" pivotButton="0" quotePrefix="0" xfId="2">
      <alignment horizontal="left" vertical="center" wrapText="1"/>
    </xf>
    <xf numFmtId="0" fontId="4" fillId="4" borderId="4" applyAlignment="1" pivotButton="0" quotePrefix="0" xfId="4">
      <alignment horizontal="center" vertical="center"/>
    </xf>
    <xf numFmtId="0" fontId="4" fillId="3" borderId="4" applyAlignment="1" pivotButton="0" quotePrefix="0" xfId="4">
      <alignment horizontal="center" vertical="center"/>
    </xf>
    <xf numFmtId="0" fontId="4" fillId="4" borderId="5" applyAlignment="1" pivotButton="0" quotePrefix="0" xfId="4">
      <alignment horizontal="center" vertical="center"/>
    </xf>
    <xf numFmtId="0" fontId="4" fillId="3" borderId="5" applyAlignment="1" pivotButton="0" quotePrefix="0" xfId="4">
      <alignment horizontal="center" vertical="center"/>
    </xf>
    <xf numFmtId="167" fontId="7" fillId="6" borderId="5" applyAlignment="1" pivotButton="0" quotePrefix="0" xfId="1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0" fontId="10" fillId="2" borderId="2" applyAlignment="1" pivotButton="0" quotePrefix="0" xfId="0">
      <alignment horizontal="center"/>
    </xf>
    <xf numFmtId="14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2" pivotButton="0" quotePrefix="0" xfId="0"/>
    <xf numFmtId="166" fontId="7" fillId="3" borderId="4" applyAlignment="1" pivotButton="0" quotePrefix="0" xfId="1">
      <alignment horizontal="center" vertical="center"/>
    </xf>
    <xf numFmtId="164" fontId="7" fillId="3" borderId="4" applyAlignment="1" pivotButton="0" quotePrefix="0" xfId="2">
      <alignment horizontal="left" vertical="center"/>
    </xf>
    <xf numFmtId="168" fontId="7" fillId="3" borderId="4" applyAlignment="1" pivotButton="0" quotePrefix="0" xfId="2">
      <alignment horizontal="left" vertical="center"/>
    </xf>
    <xf numFmtId="166" fontId="0" fillId="0" borderId="0" applyAlignment="1" pivotButton="0" quotePrefix="0" xfId="1">
      <alignment horizontal="center"/>
    </xf>
    <xf numFmtId="164" fontId="0" fillId="0" borderId="0" applyAlignment="1" pivotButton="0" quotePrefix="0" xfId="2">
      <alignment horizontal="left"/>
    </xf>
  </cellXfs>
  <cellStyles count="5">
    <cellStyle name="Normal" xfId="0" builtinId="0"/>
    <cellStyle name="Comma" xfId="1" builtinId="3"/>
    <cellStyle name="Currency" xfId="2" builtinId="4"/>
    <cellStyle name="Percent" xfId="3" builtinId="5"/>
    <cellStyle name="Hyperlink" xfId="4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earth.google.com/web/search/140+Veterans+Memorial+Hwy+SW,+Mableton,+GA/@33.81275763,-84.55783477,312.29750201a,1223.68212533d,35y,-0h,0t,0r/data=CiwiJgokCZIU6r1bAEFAEZBgpXwr_0BAGYAWfJzNIFXAISZcTopLIlXAQgIIATIpCicKJQohMWdTMFZXLWRMNTk0RFVHSzBBazR3alZaVXE5NDhMWGpVIAE6AwoBMEICCABKCAjS3LSqBhAB" TargetMode="External" Id="rId1" /><Relationship Type="http://schemas.openxmlformats.org/officeDocument/2006/relationships/hyperlink" Target="https://www.dropbox.com/scl/fi/gjf0nn869llpfxdw5l8nm/140-Veterans-Memorial-Flyer-140-Veterans-Memorial-Hwy-onpace.pdf?rlkey=7n7x23r597slhsxjl0myj9drq&amp;st=tm32fyds&amp;dl=0" TargetMode="External" Id="rId2" /><Relationship Type="http://schemas.openxmlformats.org/officeDocument/2006/relationships/hyperlink" Target="https://www.dropbox.com/scl/fi/4n9kfj1pmcuwcjnwvhg39/Final-Zoning-Report-140-Veterans-Memorial.pdf?rlkey=m7xwlup1l2dsmfc16h5klwfdm&amp;st=uhk2ioi8&amp;dl=0" TargetMode="External" Id="rId3" /><Relationship Type="http://schemas.openxmlformats.org/officeDocument/2006/relationships/hyperlink" Target="https://earth.google.com/web/search/2646+Metro+Blvd,+Maryland+Heights,+MO/@38.71769778,-90.43906205,155.19436259a,844.75730144d,35y,-0h,0t,0r/data=CiwiJgokCbtQrCaX6EBAEUB0hLN550BAGXqIE8sAI1XAIQ8DJ1ZmJFXAQgIIATIpCicKJQohMWdTMFZXLWRMNTk0RFVHSzBBazR3alZaVXE5NDhMWGpVIAE6AwoBMEICCABKCAjS3LSqBhAB" TargetMode="External" Id="rId4" /><Relationship Type="http://schemas.openxmlformats.org/officeDocument/2006/relationships/hyperlink" Target="https://www.dropbox.com/scl/fi/gxk9ciwa51nlzvrowxgk3/2646-Metro-Blvd-Brochure.pdf?rlkey=725dpl4akpih80wydvsiexshe&amp;st=a02rg6d2&amp;dl=0" TargetMode="External" Id="rId5" /><Relationship Type="http://schemas.openxmlformats.org/officeDocument/2006/relationships/hyperlink" Target="https://www.dropbox.com/scl/fi/8m0yv8hpdv6g0whz7nizr/002-Maryland-Heights-MO-Univar-Kenobi-Portfolio-P.pdf?rlkey=3xj4kuletyht995xlcgmjvxk5&amp;st=iwwd0zbg&amp;dl=0" TargetMode="External" Id="rId6" /><Relationship Type="http://schemas.openxmlformats.org/officeDocument/2006/relationships/hyperlink" Target="https://earth.google.com/web/search/11604+Strang+Rd,+La+Porte,+TX/@29.7020751,-95.0572322,12.15532615a,720.70253844d,35y,0h,0t,0r/data=CiwiJgokCf5yB2FDtD1AEa5JDP8ysz1AGf5ApxtYw1fAIZxi1kb7w1fAQgIIATIpCicKJQohMWdTMFZXLWRMNTk0RFVHSzBBazR3alZaVXE5NDhMWGpVIAE6AwoBMEICCABKCAjS3LSqBhAB" TargetMode="External" Id="rId7" /><Relationship Type="http://schemas.openxmlformats.org/officeDocument/2006/relationships/hyperlink" Target="https://www.dropbox.com/scl/fi/qcx68i89bhytjhkda1s9i/11604-Strang-Rd-2026-Flyer-2026.pdf?rlkey=o9zgu3lcheg3hykah5ycenz1b&amp;st=zai4rqcd&amp;dl=0" TargetMode="External" Id="rId8" /><Relationship Type="http://schemas.openxmlformats.org/officeDocument/2006/relationships/hyperlink" Target="https://www.dropbox.com/scl/fi/vipj8sd82m00ntmaobpui/013-Univar-Kenobi-Portfolio-Stang-Rd.-LaPorte-TX-P.pdf?rlkey=bd0n9hix52ovv0izs5wvhb4xu&amp;st=n55pr2u3&amp;dl=0" TargetMode="External" Id="rId9" /><Relationship Type="http://schemas.openxmlformats.org/officeDocument/2006/relationships/hyperlink" Target="https://earth.google.com/web/search/395+West+James+Avenue,+Saint+Paul,+MN/@44.928498,-93.116336,224.70508148a,574.7779953d,35y,0h,0t,0r/data=CiwiJgokCdTRpexSCEJAEanVMxh7B0JAGXnIrHny9lPAIRAlaFQI-FPAQgIIATIpCicKJQohMWdTMFZXLWRMNTk0RFVHSzBBazR3alZaVXE5NDhMWGpVIAE6AwoBMEICCABKCAjS3LSqBhAB" TargetMode="External" Id="rId10" /><Relationship Type="http://schemas.openxmlformats.org/officeDocument/2006/relationships/hyperlink" Target="https://www.dropbox.com/scl/fi/25syl9cz6mtj7051q5m5g/395-W-James-Ave-Brochure.pdf?rlkey=zaigc7ttwzhqaqtqxfzo75y70&amp;st=bf3xwxbb&amp;dl=0" TargetMode="External" Id="rId11" /><Relationship Type="http://schemas.openxmlformats.org/officeDocument/2006/relationships/hyperlink" Target="https://www.dropbox.com/scl/fi/w71cg4g91irzf9bmren0u/008-Univar-Kenobi-Portfolio-West-James-St.-Paul-MN-P.pdf?rlkey=xcg8ic58h9eli8i127h7hml8d&amp;st=k2ds62lw&amp;dl=0" TargetMode="External" Id="rId12" /><Relationship Type="http://schemas.openxmlformats.org/officeDocument/2006/relationships/hyperlink" Target="https://earth.google.com/web/search/910+N+Prospect+Avenue,+Kansas+City,+MO/@39.1252789,-94.54986261,230.18308005a,1326.60679809d,35y,-0h,0t,0r/data=CiwiJgokCfZkRiBkjUNAEd5RGRy3jENAGfMblLDYolfAIcKWsLbAo1fAQgIIATIpCicKJQohMWdTMFZXLWRMNTk0RFVHSzBBazR3alZaVXE5NDhMWGpVIAE6AwoBMEICCABKCAjS3LSqBhAB" TargetMode="External" Id="rId13" /><Relationship Type="http://schemas.openxmlformats.org/officeDocument/2006/relationships/hyperlink" Target="https://www.dropbox.com/scl/fi/28vxnixx7si7y47h3kxmd/CCREI_Flyer_910-N-Prospect-Kansas-City-MO-1.pdf?rlkey=irzxqucc8iql5d4wya0zl7c9e&amp;st=m0w2x5yv&amp;dl=0" TargetMode="External" Id="rId14" /><Relationship Type="http://schemas.openxmlformats.org/officeDocument/2006/relationships/hyperlink" Target="https://www.dropbox.com/scl/fi/rxh1y0wgwnsrbfbouqqfu/003-Kansas-City-MO-Univar-Kenobi-Portfolio-P.pdf?rlkey=rj6rcx0eezxvqyqy1b13nn1o7&amp;st=60ep31f9&amp;dl=0" TargetMode="External" Id="rId15" /><Relationship Type="http://schemas.openxmlformats.org/officeDocument/2006/relationships/hyperlink" Target="https://earth.google.com/web/search/218+Springfield+Rd,+Baton+Rouge,+LA/@30.57920382,-91.21541763,27.57345733a,1217.98432972d,35y,0h,0t,0r/data=CiwiJgokCZ-8MAkh5kBAESdJM7Ny5UBAGUjff1egHFXAIV2ntqh6HVXAQgIIATIpCicKJQohMWdTMFZXLWRMNTk0RFVHSzBBazR3alZaVXE5NDhMWGpVIAE6AwoBMEICCABKCAjS3LSqBhAB" TargetMode="External" Id="rId16" /><Relationship Type="http://schemas.openxmlformats.org/officeDocument/2006/relationships/hyperlink" Target="https://www.dropbox.com/scl/fi/fhwecumvbeuho9mij6duu/FLYER-Springfield-Rd-218-Lease-Baton-Rouge.pdf?rlkey=a0sdwrm3zytlypa97u5yala8y&amp;st=qcagzojx&amp;dl=0" TargetMode="External" Id="rId17" /><Relationship Type="http://schemas.openxmlformats.org/officeDocument/2006/relationships/hyperlink" Target="https://www.dropbox.com/scl/fi/rci6tked5j40bo7int13p/011-Univar-Kenobi-Portfolio-Springfield-Rd.-Baton-Rough-LA-P.pdf?rlkey=vnq0shjj5kvsh7w4mpepw3etc&amp;st=n74dgqrv&amp;dl=0" TargetMode="External" Id="rId18" /><Relationship Type="http://schemas.openxmlformats.org/officeDocument/2006/relationships/hyperlink" Target="https://earth.google.com/web/search/6980+Market+Avenue,+El+Paso,+TX/@31.76784607,-106.38254429,1165.63763495a,810.73536689d,35y,-0h,0t,0r/data=CiwiJgokCS8paf5do0FAEcraQzmzokFAGWwebpRZOFTAIQbLfkMzOVTAQgIIATIpCicKJQohMWdTMFZXLWRMNTk0RFVHSzBBazR3alZaVXE5NDhMWGpVIAE6AwoBMEICCABKCAjS3LSqBhAB" TargetMode="External" Id="rId19" /><Relationship Type="http://schemas.openxmlformats.org/officeDocument/2006/relationships/hyperlink" Target="https://www.dropbox.com/scl/fi/r65zltexn5j57zm245qeo/CCRE_Flyer_6980-Market-Ave-El-Paso-TX.pdf?rlkey=yiogakxfhvb3vixppj8aspax3&amp;st=14au3e9v&amp;dl=0" TargetMode="External" Id="rId20" /><Relationship Type="http://schemas.openxmlformats.org/officeDocument/2006/relationships/hyperlink" Target="https://www.dropbox.com/scl/fi/s6ym79r721dhfqkigvwsg/014-Univar-Kenobi-Portfolio-Market-St.-El-Paso-TX-P.pdf?rlkey=ibv39wfsf5wnzf7q1pibujkx4&amp;st=wjcecre0&amp;dl=0" TargetMode="External" Id="rId21" /><Relationship Type="http://schemas.openxmlformats.org/officeDocument/2006/relationships/hyperlink" Target="https://earth.google.com/web/search/450+Butler+Drive,+Murfreesboro,+TN/@35.80316366,-86.38932792,194.46627213a,892.36418324d,35y,-0h,0t,0r/data=CiwiJgokCRbbScZdoz1AEUyFr0A0oT1AGRN49Z5_zFfAIfPIePzKzVfAQgIIATIpCicKJQohMWdTMFZXLWRMNTk0RFVHSzBBazR3alZaVXE5NDhMWGpVIAE6AwoBMEICCABKCAjS3LSqBhAB" TargetMode="External" Id="rId22" /><Relationship Type="http://schemas.openxmlformats.org/officeDocument/2006/relationships/hyperlink" Target="https://www.dropbox.com/scl/fi/5xipkajd3io3g4e36z6wq/450-Butler-Dr-Murfreesboro02.pdf?rlkey=10q621outsl07pbhnv8t06qbm&amp;st=pfnhk4co&amp;dl=0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tabSelected="1" zoomScale="115" zoomScaleNormal="115" workbookViewId="0">
      <pane xSplit="5" ySplit="4" topLeftCell="K17" activePane="bottomRight" state="frozen"/>
      <selection pane="topRight" activeCell="G1" sqref="G1"/>
      <selection pane="bottomLeft" activeCell="A6" sqref="A6"/>
      <selection pane="bottomRight" activeCell="M1" sqref="M1:M1048576"/>
    </sheetView>
  </sheetViews>
  <sheetFormatPr baseColWidth="8" defaultRowHeight="15"/>
  <cols>
    <col width="5.28515625" customWidth="1" min="1" max="1"/>
    <col width="14" customWidth="1" min="2" max="2"/>
    <col width="34.5703125" bestFit="1" customWidth="1" style="13" min="3" max="3"/>
    <col width="19.85546875" bestFit="1" customWidth="1" min="4" max="4"/>
    <col width="5.28515625" bestFit="1" customWidth="1" min="5" max="5"/>
    <col width="18.7109375" customWidth="1" min="6" max="6"/>
    <col width="13.7109375" bestFit="1" customWidth="1" style="9" min="7" max="7"/>
    <col width="18.7109375" customWidth="1" style="1" min="8" max="8"/>
    <col width="12.7109375" customWidth="1" style="1" min="9" max="9"/>
    <col width="19.7109375" customWidth="1" style="1" min="10" max="10"/>
    <col width="20" customWidth="1" style="3" min="11" max="11"/>
    <col width="37.28515625" customWidth="1" style="3" min="12" max="12"/>
    <col width="19.28515625" bestFit="1" customWidth="1" style="3" min="13" max="13"/>
    <col width="23.140625" customWidth="1" style="3" min="14" max="14"/>
    <col width="13.140625" bestFit="1" customWidth="1" style="3" min="15" max="15"/>
    <col width="15.7109375" customWidth="1" style="3" min="16" max="18"/>
    <col width="17.28515625" customWidth="1" style="3" min="19" max="20"/>
    <col width="17.140625" bestFit="1" customWidth="1" style="3" min="21" max="21"/>
    <col width="16.7109375" bestFit="1" customWidth="1" style="3" min="22" max="22"/>
    <col width="22.7109375" customWidth="1" style="3" min="23" max="23"/>
    <col width="27.7109375" customWidth="1" style="3" min="24" max="24"/>
    <col width="19.140625" customWidth="1" style="3" min="25" max="25"/>
    <col width="31.28515625" customWidth="1" style="3" min="26" max="26"/>
    <col width="24.5703125" customWidth="1" style="3" min="27" max="27"/>
    <col width="12" bestFit="1" customWidth="1" min="28" max="28"/>
  </cols>
  <sheetData>
    <row r="1" ht="9" customHeight="1" thickBot="1">
      <c r="A1" s="57" t="n"/>
      <c r="AA1" s="11" t="n"/>
    </row>
    <row r="2" ht="24.6" customHeight="1">
      <c r="A2" s="57" t="n"/>
      <c r="B2" s="74" t="inlineStr">
        <is>
          <t>CCRE Investments Portfolio</t>
        </is>
      </c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52" t="n"/>
    </row>
    <row r="3" ht="18.6" customHeight="1">
      <c r="A3" s="57" t="n"/>
      <c r="B3" s="76" t="n">
        <v>46132</v>
      </c>
      <c r="AA3" s="77" t="n"/>
    </row>
    <row r="4" ht="42" customFormat="1" customHeight="1" s="14">
      <c r="A4" s="58" t="n"/>
      <c r="B4" s="15" t="inlineStr">
        <is>
          <t>Google Earth Link</t>
        </is>
      </c>
      <c r="C4" s="16" t="inlineStr">
        <is>
          <t>Property Address</t>
        </is>
      </c>
      <c r="D4" s="16" t="inlineStr">
        <is>
          <t>City</t>
        </is>
      </c>
      <c r="E4" s="16" t="inlineStr">
        <is>
          <t>State</t>
        </is>
      </c>
      <c r="F4" s="45" t="inlineStr">
        <is>
          <t>Property Flyer</t>
        </is>
      </c>
      <c r="G4" s="16" t="inlineStr">
        <is>
          <t>Coverage Ratio</t>
        </is>
      </c>
      <c r="H4" s="45" t="inlineStr">
        <is>
          <t>Building SF</t>
        </is>
      </c>
      <c r="I4" s="45" t="inlineStr">
        <is>
          <t>Acres</t>
        </is>
      </c>
      <c r="J4" s="45" t="inlineStr">
        <is>
          <t>Zoning Report</t>
        </is>
      </c>
      <c r="K4" s="17" t="inlineStr">
        <is>
          <t>Asset Type</t>
        </is>
      </c>
      <c r="L4" s="17" t="inlineStr">
        <is>
          <t>Zoning</t>
        </is>
      </c>
      <c r="M4" s="17" t="inlineStr">
        <is>
          <t>Occupancy Status</t>
        </is>
      </c>
      <c r="N4" s="17" t="inlineStr">
        <is>
          <t>Tenant</t>
        </is>
      </c>
      <c r="O4" s="17" t="inlineStr">
        <is>
          <t>Lease Type</t>
        </is>
      </c>
      <c r="P4" s="17" t="inlineStr">
        <is>
          <t>Annual RET</t>
        </is>
      </c>
      <c r="Q4" s="17" t="inlineStr">
        <is>
          <t>Annual INS (Property)</t>
        </is>
      </c>
      <c r="R4" s="17" t="inlineStr">
        <is>
          <t>Annual INS (GenLiab)</t>
        </is>
      </c>
      <c r="S4" s="17" t="inlineStr">
        <is>
          <t>CAM/Non-Reimb.Exp.</t>
        </is>
      </c>
      <c r="T4" s="17" t="inlineStr">
        <is>
          <t>In Place Rate</t>
        </is>
      </c>
      <c r="U4" s="17" t="inlineStr">
        <is>
          <t>In-Place NOI</t>
        </is>
      </c>
      <c r="V4" s="17" t="inlineStr">
        <is>
          <t>Market Rate</t>
        </is>
      </c>
      <c r="W4" s="17" t="inlineStr">
        <is>
          <t>Lease Commencement</t>
        </is>
      </c>
      <c r="X4" s="17" t="inlineStr">
        <is>
          <t>Lease Expiration Date</t>
        </is>
      </c>
      <c r="Y4" s="18" t="inlineStr">
        <is>
          <t xml:space="preserve">Escalations </t>
        </is>
      </c>
      <c r="Z4" s="17" t="inlineStr">
        <is>
          <t xml:space="preserve">Options </t>
        </is>
      </c>
      <c r="AA4" s="17" t="inlineStr">
        <is>
          <t>Acquisition</t>
        </is>
      </c>
    </row>
    <row r="5" ht="45.6" customFormat="1" customHeight="1" s="12" thickBot="1">
      <c r="A5" s="19" t="n">
        <v>1</v>
      </c>
      <c r="B5" s="20" t="inlineStr">
        <is>
          <t>https://earth.google.com/web/search/140+Veterans+Memorial+Hwy+SW,+Mableton,+GA/@33.81275763,-84.55783477,312.29750201a,1223.68212533d,35y,-0h,0t,0r/data=CiwiJgokCZIU6r1bAEFAEZBgpXwr_0BAGYAWfJzNIFXAISZcTopLIlXAQgIIATIpCicKJQohMWdTMFZXLWRMNTk0RFVHSzBBazR3alZaVXE5NDhMWGpVIAE6AwoBMEICCABKCAjS3LSqBhAB</t>
        </is>
      </c>
      <c r="C5" s="60" t="inlineStr">
        <is>
          <t>140 Veterans Memorial Hwy</t>
        </is>
      </c>
      <c r="D5" s="27" t="inlineStr">
        <is>
          <t>Mableton</t>
        </is>
      </c>
      <c r="E5" s="27" t="inlineStr">
        <is>
          <t>GA</t>
        </is>
      </c>
      <c r="F5" s="71" t="inlineStr">
        <is>
          <t>https://www.dropbox.com/scl/fi/gjf0nn869llpfxdw5l8nm/140-Veterans-Memorial-Flyer-140-Veterans-Memorial-Hwy-onpace.pdf?rlkey=7n7x23r597slhsxjl0myj9drq&amp;st=tm32fyds&amp;dl=0</t>
        </is>
      </c>
      <c r="G5" s="28">
        <f>(H8/(I8*43560))</f>
        <v/>
      </c>
      <c r="H5" s="79" t="n">
        <v>19350</v>
      </c>
      <c r="I5" s="49" t="n">
        <v>2.5</v>
      </c>
      <c r="J5" s="69" t="inlineStr">
        <is>
          <t>https://www.dropbox.com/scl/fi/4n9kfj1pmcuwcjnwvhg39/Final-Zoning-Report-140-Veterans-Memorial.pdf?rlkey=m7xwlup1l2dsmfc16h5klwfdm&amp;st=uhk2ioi8&amp;dl=0</t>
        </is>
      </c>
      <c r="K5" s="27" t="inlineStr">
        <is>
          <t xml:space="preserve">Industrial </t>
        </is>
      </c>
      <c r="L5" s="27" t="inlineStr">
        <is>
          <t>LI - Light Industrial</t>
        </is>
      </c>
      <c r="M5" s="27" t="inlineStr">
        <is>
          <t>Vacant</t>
        </is>
      </c>
      <c r="N5" s="27" t="inlineStr">
        <is>
          <t>Vacant</t>
        </is>
      </c>
      <c r="O5" s="27" t="inlineStr">
        <is>
          <t>NNN</t>
        </is>
      </c>
      <c r="P5" s="33" t="n">
        <v>17254.85</v>
      </c>
      <c r="Q5" s="33" t="n">
        <v>20620.82</v>
      </c>
      <c r="R5" s="33" t="n">
        <v>1202.1</v>
      </c>
      <c r="S5" s="33" t="n">
        <v>0</v>
      </c>
      <c r="T5" s="80" t="n">
        <v>0</v>
      </c>
      <c r="U5" s="33">
        <f>H8*T8</f>
        <v/>
      </c>
      <c r="V5" s="80" t="n"/>
      <c r="W5" s="80" t="inlineStr">
        <is>
          <t>N/A</t>
        </is>
      </c>
      <c r="X5" s="80" t="inlineStr">
        <is>
          <t>N/A</t>
        </is>
      </c>
      <c r="Y5" s="80" t="inlineStr">
        <is>
          <t>N/A</t>
        </is>
      </c>
      <c r="Z5" s="80" t="inlineStr">
        <is>
          <t>N/A</t>
        </is>
      </c>
      <c r="AA5" s="81" t="n">
        <v>45846</v>
      </c>
    </row>
    <row r="6" ht="45.6" customFormat="1" customHeight="1" s="12" thickBot="1">
      <c r="A6" s="19" t="n">
        <v>2</v>
      </c>
      <c r="B6" s="20" t="inlineStr">
        <is>
          <t>https://earth.google.com/web/search/2646+Metro+Blvd,+Maryland+Heights,+MO/@38.71769778,-90.43906205,155.19436259a,844.75730144d,35y,-0h,0t,0r/data=CiwiJgokCbtQrCaX6EBAEUB0hLN550BAGXqIE8sAI1XAIQ8DJ1ZmJFXAQgIIATIpCicKJQohMWdTMFZXLWRMNTk0RFVHSzBBazR3alZaVXE5NDhMWGpVIAE6AwoBMEICCABKCAjS3LSqBhAB</t>
        </is>
      </c>
      <c r="C6" s="60" t="inlineStr">
        <is>
          <t>2646 Metro Blvd</t>
        </is>
      </c>
      <c r="D6" s="27" t="inlineStr">
        <is>
          <t>Maryland Heights</t>
        </is>
      </c>
      <c r="E6" s="27" t="inlineStr">
        <is>
          <t>MO</t>
        </is>
      </c>
      <c r="F6" s="71" t="inlineStr">
        <is>
          <t>https://www.dropbox.com/scl/fi/gxk9ciwa51nlzvrowxgk3/2646-Metro-Blvd-Brochure.pdf?rlkey=725dpl4akpih80wydvsiexshe&amp;st=a02rg6d2&amp;dl=0</t>
        </is>
      </c>
      <c r="G6" s="28">
        <f>(H11/(I11*43560))</f>
        <v/>
      </c>
      <c r="H6" s="79">
        <f>18878+3856</f>
        <v/>
      </c>
      <c r="I6" s="49" t="n">
        <v>4.84</v>
      </c>
      <c r="J6" s="69" t="inlineStr">
        <is>
          <t>https://www.dropbox.com/scl/fi/8m0yv8hpdv6g0whz7nizr/002-Maryland-Heights-MO-Univar-Kenobi-Portfolio-P.pdf?rlkey=3xj4kuletyht995xlcgmjvxk5&amp;st=iwwd0zbg&amp;dl=0</t>
        </is>
      </c>
      <c r="K6" s="27" t="inlineStr">
        <is>
          <t xml:space="preserve">Industrial </t>
        </is>
      </c>
      <c r="L6" s="27" t="inlineStr">
        <is>
          <t>M1 - Light Industrial</t>
        </is>
      </c>
      <c r="M6" s="27" t="inlineStr">
        <is>
          <t>Vacant</t>
        </is>
      </c>
      <c r="N6" s="27" t="inlineStr">
        <is>
          <t>Vacant</t>
        </is>
      </c>
      <c r="O6" s="27" t="inlineStr">
        <is>
          <t>NNN</t>
        </is>
      </c>
      <c r="P6" s="33" t="n">
        <v>62913</v>
      </c>
      <c r="Q6" s="33" t="n">
        <v>15410.35</v>
      </c>
      <c r="R6" s="33" t="n">
        <v>627.1</v>
      </c>
      <c r="S6" s="33" t="n">
        <v>0</v>
      </c>
      <c r="T6" s="80" t="n">
        <v>0</v>
      </c>
      <c r="U6" s="33">
        <f>H11*T11</f>
        <v/>
      </c>
      <c r="V6" s="80" t="n"/>
      <c r="W6" s="80" t="inlineStr">
        <is>
          <t>N/A</t>
        </is>
      </c>
      <c r="X6" s="80" t="inlineStr">
        <is>
          <t>N/A</t>
        </is>
      </c>
      <c r="Y6" s="80" t="inlineStr">
        <is>
          <t>N/A</t>
        </is>
      </c>
      <c r="Z6" s="80" t="inlineStr">
        <is>
          <t>N/A</t>
        </is>
      </c>
      <c r="AA6" s="81" t="n">
        <v>45940</v>
      </c>
    </row>
    <row r="7" ht="45.6" customFormat="1" customHeight="1" s="12" thickBot="1">
      <c r="A7" s="19" t="n">
        <v>3</v>
      </c>
      <c r="B7" s="20" t="inlineStr">
        <is>
          <t>https://earth.google.com/web/search/11604+Strang+Rd,+La+Porte,+TX/@29.7020751,-95.0572322,12.15532615a,720.70253844d,35y,0h,0t,0r/data=CiwiJgokCf5yB2FDtD1AEa5JDP8ysz1AGf5ApxtYw1fAIZxi1kb7w1fAQgIIATIpCicKJQohMWdTMFZXLWRMNTk0RFVHSzBBazR3alZaVXE5NDhMWGpVIAE6AwoBMEICCABKCAjS3LSqBhAB</t>
        </is>
      </c>
      <c r="C7" s="60" t="inlineStr">
        <is>
          <t>11604 Strang Rd</t>
        </is>
      </c>
      <c r="D7" s="27" t="inlineStr">
        <is>
          <t>LaPorte</t>
        </is>
      </c>
      <c r="E7" s="27" t="inlineStr">
        <is>
          <t>TX</t>
        </is>
      </c>
      <c r="F7" s="71" t="inlineStr">
        <is>
          <t>https://www.dropbox.com/scl/fi/qcx68i89bhytjhkda1s9i/11604-Strang-Rd-2026-Flyer-2026.pdf?rlkey=o9zgu3lcheg3hykah5ycenz1b&amp;st=zai4rqcd&amp;dl=0</t>
        </is>
      </c>
      <c r="G7" s="28">
        <f>(H14/(I14*43560))</f>
        <v/>
      </c>
      <c r="H7" s="79" t="n">
        <v>16360</v>
      </c>
      <c r="I7" s="49" t="n">
        <v>4.52</v>
      </c>
      <c r="J7" s="69" t="inlineStr">
        <is>
          <t>https://www.dropbox.com/scl/fi/vipj8sd82m00ntmaobpui/013-Univar-Kenobi-Portfolio-Stang-Rd.-LaPorte-TX-P.pdf?rlkey=bd0n9hix52ovv0izs5wvhb4xu&amp;st=n55pr2u3&amp;dl=0</t>
        </is>
      </c>
      <c r="K7" s="27" t="inlineStr">
        <is>
          <t xml:space="preserve">Industrial </t>
        </is>
      </c>
      <c r="L7" s="27" t="inlineStr">
        <is>
          <t>No Zoning</t>
        </is>
      </c>
      <c r="M7" s="27" t="inlineStr">
        <is>
          <t>Vacant</t>
        </is>
      </c>
      <c r="N7" s="27" t="inlineStr">
        <is>
          <t>Vacant</t>
        </is>
      </c>
      <c r="O7" s="27" t="inlineStr">
        <is>
          <t>NNN</t>
        </is>
      </c>
      <c r="P7" s="33" t="n">
        <v>14097.83</v>
      </c>
      <c r="Q7" s="33" t="n">
        <v>18479.21</v>
      </c>
      <c r="R7" s="33" t="n">
        <v>491.1</v>
      </c>
      <c r="S7" s="33" t="n">
        <v>0</v>
      </c>
      <c r="T7" s="80" t="n">
        <v>0</v>
      </c>
      <c r="U7" s="33">
        <f>H14*T14</f>
        <v/>
      </c>
      <c r="V7" s="80" t="n"/>
      <c r="W7" s="80" t="inlineStr">
        <is>
          <t>N/A</t>
        </is>
      </c>
      <c r="X7" s="80" t="inlineStr">
        <is>
          <t>N/A</t>
        </is>
      </c>
      <c r="Y7" s="80" t="inlineStr">
        <is>
          <t>N/A</t>
        </is>
      </c>
      <c r="Z7" s="80" t="inlineStr">
        <is>
          <t>N/A</t>
        </is>
      </c>
      <c r="AA7" s="81" t="n">
        <v>45940</v>
      </c>
    </row>
    <row r="8" ht="45.6" customFormat="1" customHeight="1" s="12" thickBot="1">
      <c r="A8" s="19" t="n">
        <v>4</v>
      </c>
      <c r="B8" s="20" t="inlineStr">
        <is>
          <t>https://earth.google.com/web/search/395+West+James+Avenue,+Saint+Paul,+MN/@44.928498,-93.116336,224.70508148a,574.7779953d,35y,0h,0t,0r/data=CiwiJgokCdTRpexSCEJAEanVMxh7B0JAGXnIrHny9lPAIRAlaFQI-FPAQgIIATIpCicKJQohMWdTMFZXLWRMNTk0RFVHSzBBazR3alZaVXE5NDhMWGpVIAE6AwoBMEICCABKCAjS3LSqBhAB</t>
        </is>
      </c>
      <c r="C8" s="60" t="inlineStr">
        <is>
          <t>395 James Ave</t>
        </is>
      </c>
      <c r="D8" s="27" t="inlineStr">
        <is>
          <t>St. Paul</t>
        </is>
      </c>
      <c r="E8" s="27" t="inlineStr">
        <is>
          <t>MN</t>
        </is>
      </c>
      <c r="F8" s="71" t="inlineStr">
        <is>
          <t>https://www.dropbox.com/scl/fi/25syl9cz6mtj7051q5m5g/395-W-James-Ave-Brochure.pdf?rlkey=zaigc7ttwzhqaqtqxfzo75y70&amp;st=bf3xwxbb&amp;dl=0</t>
        </is>
      </c>
      <c r="G8" s="28">
        <f>(H17/(I17*43560))</f>
        <v/>
      </c>
      <c r="H8" s="79" t="n">
        <v>22000</v>
      </c>
      <c r="I8" s="49" t="n">
        <v>4.09</v>
      </c>
      <c r="J8" s="69" t="inlineStr">
        <is>
          <t>https://www.dropbox.com/scl/fi/w71cg4g91irzf9bmren0u/008-Univar-Kenobi-Portfolio-West-James-St.-Paul-MN-P.pdf?rlkey=xcg8ic58h9eli8i127h7hml8d&amp;st=k2ds62lw&amp;dl=0</t>
        </is>
      </c>
      <c r="K8" s="27" t="inlineStr">
        <is>
          <t xml:space="preserve">Industrial </t>
        </is>
      </c>
      <c r="L8" s="27" t="inlineStr">
        <is>
          <t>I3 - Heavy Industrial</t>
        </is>
      </c>
      <c r="M8" s="27" t="inlineStr">
        <is>
          <t>Vacant</t>
        </is>
      </c>
      <c r="N8" s="27" t="inlineStr">
        <is>
          <t>Vacant</t>
        </is>
      </c>
      <c r="O8" s="27" t="inlineStr">
        <is>
          <t>NNN</t>
        </is>
      </c>
      <c r="P8" s="33" t="n">
        <v>70736</v>
      </c>
      <c r="Q8" s="33" t="n">
        <v>10295.57</v>
      </c>
      <c r="R8" s="33" t="n">
        <v>617.08</v>
      </c>
      <c r="S8" s="33" t="n">
        <v>0</v>
      </c>
      <c r="T8" s="80" t="n">
        <v>0</v>
      </c>
      <c r="U8" s="33">
        <f>H17*T17</f>
        <v/>
      </c>
      <c r="V8" s="80" t="n"/>
      <c r="W8" s="80" t="inlineStr">
        <is>
          <t>N/A</t>
        </is>
      </c>
      <c r="X8" s="80" t="inlineStr">
        <is>
          <t>N/A</t>
        </is>
      </c>
      <c r="Y8" s="80" t="inlineStr">
        <is>
          <t>N/A</t>
        </is>
      </c>
      <c r="Z8" s="80" t="inlineStr">
        <is>
          <t>N/A</t>
        </is>
      </c>
      <c r="AA8" s="81" t="n">
        <v>45940</v>
      </c>
    </row>
    <row r="9" ht="53.45" customFormat="1" customHeight="1" s="12" thickBot="1">
      <c r="A9" s="19" t="n">
        <v>5</v>
      </c>
      <c r="B9" s="20" t="inlineStr">
        <is>
          <t>https://earth.google.com/web/search/910+N+Prospect+Avenue,+Kansas+City,+MO/@39.1252789,-94.54986261,230.18308005a,1326.60679809d,35y,-0h,0t,0r/data=CiwiJgokCfZkRiBkjUNAEd5RGRy3jENAGfMblLDYolfAIcKWsLbAo1fAQgIIATIpCicKJQohMWdTMFZXLWRMNTk0RFVHSzBBazR3alZaVXE5NDhMWGpVIAE6AwoBMEICCABKCAjS3LSqBhAB</t>
        </is>
      </c>
      <c r="C9" s="60" t="inlineStr">
        <is>
          <t>910 Prospect</t>
        </is>
      </c>
      <c r="D9" s="27" t="inlineStr">
        <is>
          <t>Kansas City</t>
        </is>
      </c>
      <c r="E9" s="27" t="inlineStr">
        <is>
          <t>MO</t>
        </is>
      </c>
      <c r="F9" s="71" t="inlineStr">
        <is>
          <t>https://www.dropbox.com/scl/fi/28vxnixx7si7y47h3kxmd/CCREI_Flyer_910-N-Prospect-Kansas-City-MO-1.pdf?rlkey=irzxqucc8iql5d4wya0zl7c9e&amp;st=m0w2x5yv&amp;dl=0</t>
        </is>
      </c>
      <c r="G9" s="28" t="n">
        <v>0</v>
      </c>
      <c r="H9" s="79" t="n">
        <v>0</v>
      </c>
      <c r="I9" s="49" t="n">
        <v>2.4</v>
      </c>
      <c r="J9" s="69" t="inlineStr">
        <is>
          <t>https://www.dropbox.com/scl/fi/rxh1y0wgwnsrbfbouqqfu/003-Kansas-City-MO-Univar-Kenobi-Portfolio-P.pdf?rlkey=rj6rcx0eezxvqyqy1b13nn1o7&amp;st=60ep31f9&amp;dl=0</t>
        </is>
      </c>
      <c r="K9" s="27" t="inlineStr">
        <is>
          <t>Land</t>
        </is>
      </c>
      <c r="L9" s="27" t="inlineStr">
        <is>
          <t>M1-5 Manufacturing District</t>
        </is>
      </c>
      <c r="M9" s="27" t="inlineStr">
        <is>
          <t>Vacant</t>
        </is>
      </c>
      <c r="N9" s="27" t="inlineStr">
        <is>
          <t>Vacant</t>
        </is>
      </c>
      <c r="O9" s="27" t="inlineStr">
        <is>
          <t>NNN</t>
        </is>
      </c>
      <c r="P9" s="33" t="n">
        <v>7305.25</v>
      </c>
      <c r="Q9" s="33" t="n">
        <v>0</v>
      </c>
      <c r="R9" s="33" t="n">
        <v>87.04000000000001</v>
      </c>
      <c r="S9" s="33" t="n">
        <v>0</v>
      </c>
      <c r="T9" s="80" t="n">
        <v>0</v>
      </c>
      <c r="U9" s="33">
        <f>H18*T18</f>
        <v/>
      </c>
      <c r="V9" s="80" t="n"/>
      <c r="W9" s="80" t="inlineStr">
        <is>
          <t>N/A</t>
        </is>
      </c>
      <c r="X9" s="80" t="inlineStr">
        <is>
          <t>N/A</t>
        </is>
      </c>
      <c r="Y9" s="80" t="inlineStr">
        <is>
          <t>N/A</t>
        </is>
      </c>
      <c r="Z9" s="80" t="inlineStr">
        <is>
          <t>N/A</t>
        </is>
      </c>
      <c r="AA9" s="81" t="n">
        <v>45940</v>
      </c>
    </row>
    <row r="10" ht="21.6" customFormat="1" customHeight="1" s="12" thickBot="1">
      <c r="A10" s="19" t="n">
        <v>6</v>
      </c>
      <c r="B10" s="20" t="inlineStr">
        <is>
          <t>https://earth.google.com/web/search/218+Springfield+Rd,+Baton+Rouge,+LA/@30.57920382,-91.21541763,27.57345733a,1217.98432972d,35y,0h,0t,0r/data=CiwiJgokCZ-8MAkh5kBAESdJM7Ny5UBAGUjff1egHFXAIV2ntqh6HVXAQgIIATIpCicKJQohMWdTMFZXLWRMNTk0RFVHSzBBazR3alZaVXE5NDhMWGpVIAE6AwoBMEICCABKCAjS3LSqBhAB</t>
        </is>
      </c>
      <c r="C10" s="60" t="inlineStr">
        <is>
          <t>218 Springfield Rd</t>
        </is>
      </c>
      <c r="D10" s="27" t="inlineStr">
        <is>
          <t>Baton Rouge</t>
        </is>
      </c>
      <c r="E10" s="27" t="inlineStr">
        <is>
          <t>LA</t>
        </is>
      </c>
      <c r="F10" s="71" t="inlineStr">
        <is>
          <t>https://www.dropbox.com/scl/fi/fhwecumvbeuho9mij6duu/FLYER-Springfield-Rd-218-Lease-Baton-Rouge.pdf?rlkey=a0sdwrm3zytlypa97u5yala8y&amp;st=qcagzojx&amp;dl=0</t>
        </is>
      </c>
      <c r="G10" s="28">
        <f>(H19/(I19*43560))</f>
        <v/>
      </c>
      <c r="H10" s="79" t="n">
        <v>24700</v>
      </c>
      <c r="I10" s="49">
        <f>1.856+2.23</f>
        <v/>
      </c>
      <c r="J10" s="69" t="inlineStr">
        <is>
          <t>https://www.dropbox.com/scl/fi/rci6tked5j40bo7int13p/011-Univar-Kenobi-Portfolio-Springfield-Rd.-Baton-Rough-LA-P.pdf?rlkey=vnq0shjj5kvsh7w4mpepw3etc&amp;st=n74dgqrv&amp;dl=0</t>
        </is>
      </c>
      <c r="K10" s="27" t="inlineStr">
        <is>
          <t xml:space="preserve">Industrial </t>
        </is>
      </c>
      <c r="L10" s="27" t="inlineStr">
        <is>
          <t>M2 - Heavy Industrial</t>
        </is>
      </c>
      <c r="M10" s="27" t="inlineStr">
        <is>
          <t>Vacant</t>
        </is>
      </c>
      <c r="N10" s="27" t="inlineStr">
        <is>
          <t>Vacant</t>
        </is>
      </c>
      <c r="O10" s="27" t="inlineStr">
        <is>
          <t>NNN</t>
        </is>
      </c>
      <c r="P10" s="33" t="n">
        <v>9282.950000000001</v>
      </c>
      <c r="Q10" s="33" t="n">
        <v>6808.61</v>
      </c>
      <c r="R10" s="33" t="n">
        <v>4793.72</v>
      </c>
      <c r="S10" s="33" t="n">
        <v>0</v>
      </c>
      <c r="T10" s="80" t="n">
        <v>0</v>
      </c>
      <c r="U10" s="33">
        <f>H19*T19</f>
        <v/>
      </c>
      <c r="V10" s="80" t="n"/>
      <c r="W10" s="80" t="inlineStr">
        <is>
          <t>N/A</t>
        </is>
      </c>
      <c r="X10" s="80" t="inlineStr">
        <is>
          <t>N/A</t>
        </is>
      </c>
      <c r="Y10" s="80" t="inlineStr">
        <is>
          <t>N/A</t>
        </is>
      </c>
      <c r="Z10" s="80" t="inlineStr">
        <is>
          <t>N/A</t>
        </is>
      </c>
      <c r="AA10" s="81" t="n">
        <v>45940</v>
      </c>
    </row>
    <row r="11" ht="45.6" customFormat="1" customHeight="1" s="12" thickBot="1">
      <c r="A11" s="19" t="n">
        <v>7</v>
      </c>
      <c r="B11" s="20" t="inlineStr">
        <is>
          <t>https://earth.google.com/web/search/6980+Market+Avenue,+El+Paso,+TX/@31.76784607,-106.38254429,1165.63763495a,810.73536689d,35y,-0h,0t,0r/data=CiwiJgokCS8paf5do0FAEcraQzmzokFAGWwebpRZOFTAIQbLfkMzOVTAQgIIATIpCicKJQohMWdTMFZXLWRMNTk0RFVHSzBBazR3alZaVXE5NDhMWGpVIAE6AwoBMEICCABKCAjS3LSqBhAB</t>
        </is>
      </c>
      <c r="C11" s="60" t="inlineStr">
        <is>
          <t>6980 Market St</t>
        </is>
      </c>
      <c r="D11" s="27" t="inlineStr">
        <is>
          <t>El Paso</t>
        </is>
      </c>
      <c r="E11" s="27" t="inlineStr">
        <is>
          <t>TX</t>
        </is>
      </c>
      <c r="F11" s="71" t="inlineStr">
        <is>
          <t>https://www.dropbox.com/scl/fi/r65zltexn5j57zm245qeo/CCRE_Flyer_6980-Market-Ave-El-Paso-TX.pdf?rlkey=yiogakxfhvb3vixppj8aspax3&amp;st=14au3e9v&amp;dl=0</t>
        </is>
      </c>
      <c r="G11" s="28">
        <f>(H20/(I20*43560))</f>
        <v/>
      </c>
      <c r="H11" s="79" t="n">
        <v>12725</v>
      </c>
      <c r="I11" s="49" t="n">
        <v>1.7</v>
      </c>
      <c r="J11" s="69" t="inlineStr">
        <is>
          <t>https://www.dropbox.com/scl/fi/s6ym79r721dhfqkigvwsg/014-Univar-Kenobi-Portfolio-Market-St.-El-Paso-TX-P.pdf?rlkey=ibv39wfsf5wnzf7q1pibujkx4&amp;st=wjcecre0&amp;dl=0</t>
        </is>
      </c>
      <c r="K11" s="27" t="inlineStr">
        <is>
          <t xml:space="preserve">Industrial </t>
        </is>
      </c>
      <c r="L11" s="27" t="inlineStr">
        <is>
          <t>M1 - Light Manufacturing</t>
        </is>
      </c>
      <c r="M11" s="27" t="inlineStr">
        <is>
          <t>Vacant</t>
        </is>
      </c>
      <c r="N11" s="27" t="inlineStr">
        <is>
          <t>Vacant</t>
        </is>
      </c>
      <c r="O11" s="27" t="inlineStr">
        <is>
          <t>NNN</t>
        </is>
      </c>
      <c r="P11" s="33" t="n">
        <v>14784.71</v>
      </c>
      <c r="Q11" s="33" t="n">
        <v>3959.84</v>
      </c>
      <c r="R11" s="33" t="n">
        <v>395.1</v>
      </c>
      <c r="S11" s="33" t="n">
        <v>0</v>
      </c>
      <c r="T11" s="80" t="n">
        <v>0</v>
      </c>
      <c r="U11" s="33">
        <f>H20*T20</f>
        <v/>
      </c>
      <c r="V11" s="80" t="n"/>
      <c r="W11" s="80" t="inlineStr">
        <is>
          <t>N/A</t>
        </is>
      </c>
      <c r="X11" s="80" t="inlineStr">
        <is>
          <t>N/A</t>
        </is>
      </c>
      <c r="Y11" s="80" t="inlineStr">
        <is>
          <t>N/A</t>
        </is>
      </c>
      <c r="Z11" s="80" t="inlineStr">
        <is>
          <t>N/A</t>
        </is>
      </c>
      <c r="AA11" s="81" t="n">
        <v>45940</v>
      </c>
    </row>
    <row r="12" ht="45.6" customFormat="1" customHeight="1" s="12" thickBot="1">
      <c r="A12" s="19" t="n">
        <v>8</v>
      </c>
      <c r="B12" s="20" t="inlineStr">
        <is>
          <t>https://earth.google.com/web/search/450+Butler+Drive,+Murfreesboro,+TN/@35.80316366,-86.38932792,194.46627213a,892.36418324d,35y,-0h,0t,0r/data=CiwiJgokCRbbScZdoz1AEUyFr0A0oT1AGRN49Z5_zFfAIfPIePzKzVfAQgIIATIpCicKJQohMWdTMFZXLWRMNTk0RFVHSzBBazR3alZaVXE5NDhMWGpVIAE6AwoBMEICCABKCAjS3LSqBhAB</t>
        </is>
      </c>
      <c r="C12" s="60" t="inlineStr">
        <is>
          <t>450 Butler Dr</t>
        </is>
      </c>
      <c r="D12" s="27" t="inlineStr">
        <is>
          <t>Murfreesboro</t>
        </is>
      </c>
      <c r="E12" s="27" t="inlineStr">
        <is>
          <t>TN</t>
        </is>
      </c>
      <c r="F12" s="71" t="inlineStr">
        <is>
          <t>https://www.dropbox.com/scl/fi/5xipkajd3io3g4e36z6wq/450-Butler-Dr-Murfreesboro02.pdf?rlkey=10q621outsl07pbhnv8t06qbm&amp;st=pfnhk4co&amp;dl=0</t>
        </is>
      </c>
      <c r="G12" s="28">
        <f>(H23/(I23*43560))</f>
        <v/>
      </c>
      <c r="H12" s="79" t="n">
        <v>53750</v>
      </c>
      <c r="I12" s="49" t="n">
        <v>5.43</v>
      </c>
      <c r="J12" s="49" t="inlineStr">
        <is>
          <t>Zoning link</t>
        </is>
      </c>
      <c r="K12" s="27" t="inlineStr">
        <is>
          <t xml:space="preserve">Industrial </t>
        </is>
      </c>
      <c r="L12" s="27" t="inlineStr">
        <is>
          <t xml:space="preserve">Heavy Industrial </t>
        </is>
      </c>
      <c r="M12" s="27" t="inlineStr">
        <is>
          <t>Vacant</t>
        </is>
      </c>
      <c r="N12" s="27" t="inlineStr">
        <is>
          <t>Vacant</t>
        </is>
      </c>
      <c r="O12" s="27" t="inlineStr">
        <is>
          <t>NNN</t>
        </is>
      </c>
      <c r="P12" s="33" t="n">
        <v>0</v>
      </c>
      <c r="Q12" s="33" t="n">
        <v>0</v>
      </c>
      <c r="R12" s="33" t="n">
        <v>0</v>
      </c>
      <c r="S12" s="33" t="n">
        <v>0</v>
      </c>
      <c r="T12" s="80" t="n">
        <v>0</v>
      </c>
      <c r="U12" s="33">
        <f>H23*T23</f>
        <v/>
      </c>
      <c r="V12" s="80" t="n"/>
      <c r="W12" s="80" t="inlineStr">
        <is>
          <t>N/A</t>
        </is>
      </c>
      <c r="X12" s="80" t="inlineStr">
        <is>
          <t>N/A</t>
        </is>
      </c>
      <c r="Y12" s="80" t="inlineStr">
        <is>
          <t>N/A</t>
        </is>
      </c>
      <c r="Z12" s="80" t="inlineStr">
        <is>
          <t>N/A</t>
        </is>
      </c>
      <c r="AA12" s="81" t="n">
        <v>46112</v>
      </c>
    </row>
    <row r="13" ht="45.6" customFormat="1" customHeight="1" s="12" thickBot="1">
      <c r="B13" s="6" t="n"/>
      <c r="G13" s="7" t="n"/>
      <c r="H13" s="82" t="n"/>
      <c r="T13" s="83" t="n"/>
      <c r="U13" s="83" t="n"/>
      <c r="V13" s="83" t="n"/>
      <c r="W13" s="83" t="n"/>
      <c r="X13" s="83" t="n"/>
      <c r="Y13" s="83" t="n"/>
      <c r="Z13" s="8" t="n"/>
      <c r="AA13" s="8" t="n"/>
    </row>
    <row r="14" ht="45.6" customFormat="1" customHeight="1" s="12" thickBot="1">
      <c r="B14" s="6" t="n"/>
      <c r="G14" s="7" t="n"/>
      <c r="H14" s="82" t="n"/>
      <c r="T14" s="83" t="n"/>
      <c r="U14" s="83" t="n"/>
      <c r="V14" s="83" t="n"/>
      <c r="W14" s="83" t="n"/>
      <c r="X14" s="83" t="n"/>
      <c r="Y14" s="83" t="n"/>
      <c r="Z14" s="8" t="n"/>
      <c r="AA14" s="8" t="n"/>
    </row>
    <row r="15" ht="45.6" customFormat="1" customHeight="1" s="12" thickBot="1">
      <c r="B15" t="inlineStr">
        <is>
          <t xml:space="preserve">Total </t>
        </is>
      </c>
      <c r="C15" s="61">
        <f>COUNTA(C5:C12)</f>
        <v/>
      </c>
      <c r="G15" s="9">
        <f>AVERAGE(G5:G12)</f>
        <v/>
      </c>
      <c r="H15" s="82">
        <f>SUM(H5:H12)</f>
        <v/>
      </c>
      <c r="I15" s="1">
        <f>SUM(I5:I12)</f>
        <v/>
      </c>
      <c r="T15" s="83" t="n"/>
      <c r="U15" s="83" t="n"/>
      <c r="V15" s="83" t="n"/>
      <c r="W15" s="83" t="n"/>
      <c r="X15" s="83" t="n"/>
      <c r="Y15" s="83" t="n"/>
      <c r="Z15" s="10" t="n"/>
      <c r="AA15" s="10" t="n"/>
    </row>
    <row r="16" ht="21.6" customFormat="1" customHeight="1" s="12" thickBot="1">
      <c r="G16" s="9" t="n"/>
    </row>
    <row r="17" ht="45.6" customFormat="1" customHeight="1" s="12" thickBot="1"/>
    <row r="18" ht="45.6" customFormat="1" customHeight="1" s="12" thickBot="1"/>
    <row r="19" ht="45.6" customFormat="1" customHeight="1" s="12" thickBot="1"/>
    <row r="20" ht="45.6" customFormat="1" customHeight="1" s="12" thickBot="1"/>
    <row r="21" ht="45.6" customFormat="1" customHeight="1" s="12" thickBot="1"/>
    <row r="22" ht="45.6" customFormat="1" customHeight="1" s="12" thickBot="1"/>
    <row r="23" ht="45.6" customFormat="1" customHeight="1" s="12" thickBot="1"/>
    <row r="24" ht="48" customHeight="1"/>
    <row r="25" ht="48" customHeight="1"/>
  </sheetData>
  <mergeCells count="2">
    <mergeCell ref="B3:Z3"/>
    <mergeCell ref="B2:Z2"/>
  </mergeCells>
  <hyperlinks>
    <hyperlink xmlns:r="http://schemas.openxmlformats.org/officeDocument/2006/relationships" ref="B8" display="https://earth.google.com/web/search/140+Veterans+Memorial+Hwy+SW,+Mableton,+GA/@33.81275763,-84.55783477,312.29750201a,1223.68212533d,35y,-0h,0t,0r/data=CiwiJgokCZIU6r1bAEFAEZBgpXwr_0BAGYAWfJzNIFXAISZcTopLIlXAQgIIATIpCicKJQohMWdTMFZXLWRMNTk0RFVHSzBBazR3alZaVXE5NDhMWGpVIAE6AwoBMEICCABKCAjS3LSqBhAB" r:id="rId1"/>
    <hyperlink xmlns:r="http://schemas.openxmlformats.org/officeDocument/2006/relationships" ref="F8" r:id="rId2"/>
    <hyperlink xmlns:r="http://schemas.openxmlformats.org/officeDocument/2006/relationships" ref="J8" r:id="rId3"/>
    <hyperlink xmlns:r="http://schemas.openxmlformats.org/officeDocument/2006/relationships" ref="B11" display="https://earth.google.com/web/search/2646+Metro+Blvd,+Maryland+Heights,+MO/@38.71769778,-90.43906205,155.19436259a,844.75730144d,35y,-0h,0t,0r/data=CiwiJgokCbtQrCaX6EBAEUB0hLN550BAGXqIE8sAI1XAIQ8DJ1ZmJFXAQgIIATIpCicKJQohMWdTMFZXLWRMNTk0RFVHSzBBazR3alZaVXE5NDhMWGpVIAE6AwoBMEICCABKCAjS3LSqBhAB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4" display="https://earth.google.com/web/search/11604+Strang+Rd,+La+Porte,+TX/@29.7020751,-95.0572322,12.15532615a,720.70253844d,35y,0h,0t,0r/data=CiwiJgokCf5yB2FDtD1AEa5JDP8ysz1AGf5ApxtYw1fAIZxi1kb7w1fAQgIIATIpCicKJQohMWdTMFZXLWRMNTk0RFVHSzBBazR3alZaVXE5NDhMWGpVIAE6AwoBMEICCABKCAjS3LSqBhAB" r:id="rId7"/>
    <hyperlink xmlns:r="http://schemas.openxmlformats.org/officeDocument/2006/relationships" ref="F14" r:id="rId8"/>
    <hyperlink xmlns:r="http://schemas.openxmlformats.org/officeDocument/2006/relationships" ref="J14" r:id="rId9"/>
    <hyperlink xmlns:r="http://schemas.openxmlformats.org/officeDocument/2006/relationships" ref="B17" display="https://earth.google.com/web/search/395+West+James+Avenue,+Saint+Paul,+MN/@44.928498,-93.116336,224.70508148a,574.7779953d,35y,0h,0t,0r/data=CiwiJgokCdTRpexSCEJAEanVMxh7B0JAGXnIrHny9lPAIRAlaFQI-FPAQgIIATIpCicKJQohMWdTMFZXLWRMNTk0RFVHSzBBazR3alZaVXE5NDhMWGpVIAE6AwoBMEICCABKCAjS3LSqBhAB" r:id="rId10"/>
    <hyperlink xmlns:r="http://schemas.openxmlformats.org/officeDocument/2006/relationships" ref="F17" r:id="rId11"/>
    <hyperlink xmlns:r="http://schemas.openxmlformats.org/officeDocument/2006/relationships" ref="J17" r:id="rId12"/>
    <hyperlink xmlns:r="http://schemas.openxmlformats.org/officeDocument/2006/relationships" ref="B18" display="https://earth.google.com/web/search/910+N+Prospect+Avenue,+Kansas+City,+MO/@39.1252789,-94.54986261,230.18308005a,1326.60679809d,35y,-0h,0t,0r/data=CiwiJgokCfZkRiBkjUNAEd5RGRy3jENAGfMblLDYolfAIcKWsLbAo1fAQgIIATIpCicKJQohMWdTMFZXLWRMNTk0RFVHSzBBazR3alZaVXE5NDhMWGpVIAE6AwoBMEICCABKCAjS3LSqBhAB" r:id="rId13"/>
    <hyperlink xmlns:r="http://schemas.openxmlformats.org/officeDocument/2006/relationships" ref="F18" r:id="rId14"/>
    <hyperlink xmlns:r="http://schemas.openxmlformats.org/officeDocument/2006/relationships" ref="J18" r:id="rId15"/>
    <hyperlink xmlns:r="http://schemas.openxmlformats.org/officeDocument/2006/relationships" ref="B19" display="https://earth.google.com/web/search/218+Springfield+Rd,+Baton+Rouge,+LA/@30.57920382,-91.21541763,27.57345733a,1217.98432972d,35y,0h,0t,0r/data=CiwiJgokCZ-8MAkh5kBAESdJM7Ny5UBAGUjff1egHFXAIV2ntqh6HVXAQgIIATIpCicKJQohMWdTMFZXLWRMNTk0RFVHSzBBazR3alZaVXE5NDhMWGpVIAE6AwoBMEICCABKCAjS3LSqBhAB" r:id="rId16"/>
    <hyperlink xmlns:r="http://schemas.openxmlformats.org/officeDocument/2006/relationships" ref="F19" r:id="rId17"/>
    <hyperlink xmlns:r="http://schemas.openxmlformats.org/officeDocument/2006/relationships" ref="J19" r:id="rId18"/>
    <hyperlink xmlns:r="http://schemas.openxmlformats.org/officeDocument/2006/relationships" ref="B20" display="https://earth.google.com/web/search/6980+Market+Avenue,+El+Paso,+TX/@31.76784607,-106.38254429,1165.63763495a,810.73536689d,35y,-0h,0t,0r/data=CiwiJgokCS8paf5do0FAEcraQzmzokFAGWwebpRZOFTAIQbLfkMzOVTAQgIIATIpCicKJQohMWdTMFZXLWRMNTk0RFVHSzBBazR3alZaVXE5NDhMWGpVIAE6AwoBMEICCABKCAjS3LSqBhAB" r:id="rId19"/>
    <hyperlink xmlns:r="http://schemas.openxmlformats.org/officeDocument/2006/relationships" ref="F20" r:id="rId20"/>
    <hyperlink xmlns:r="http://schemas.openxmlformats.org/officeDocument/2006/relationships" ref="J20" r:id="rId21"/>
    <hyperlink xmlns:r="http://schemas.openxmlformats.org/officeDocument/2006/relationships" ref="B23" display="https://earth.google.com/web/search/450+Butler+Drive,+Murfreesboro,+TN/@35.80316366,-86.38932792,194.46627213a,892.36418324d,35y,-0h,0t,0r/data=CiwiJgokCRbbScZdoz1AEUyFr0A0oT1AGRN49Z5_zFfAIfPIePzKzVfAQgIIATIpCicKJQohMWdTMFZXLWRMNTk0RFVHSzBBazR3alZaVXE5NDhMWGpVIAE6AwoBMEICCABKCAjS3LSqBhAB" r:id="rId22"/>
    <hyperlink xmlns:r="http://schemas.openxmlformats.org/officeDocument/2006/relationships" ref="F23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Cameron Tyler</dc:creator>
  <dcterms:created xsi:type="dcterms:W3CDTF">2026-02-03T14:08:18Z</dcterms:created>
  <dcterms:modified xsi:type="dcterms:W3CDTF">2026-06-08T20:51:48Z</dcterms:modified>
  <cp:lastModifiedBy>Chase Burks</cp:lastModifiedBy>
</cp:coreProperties>
</file>